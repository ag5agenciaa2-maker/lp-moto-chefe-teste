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📦 Catálogo" sheetId="1" state="visible" r:id="rId1"/>
    <sheet xmlns:r="http://schemas.openxmlformats.org/officeDocument/2006/relationships" name="📖 Instruções" sheetId="2" state="visible" r:id="rId2"/>
    <sheet xmlns:r="http://schemas.openxmlformats.org/officeDocument/2006/relationships" name="📊 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1A1A2E"/>
      <sz val="11"/>
    </font>
    <font>
      <name val="Arial"/>
      <b val="1"/>
      <color rgb="001A1A2E"/>
      <sz val="14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5D04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9ECEF"/>
      </patternFill>
    </fill>
    <fill>
      <patternFill patternType="solid">
        <fgColor rgb="00FFF3CD"/>
      </patternFill>
    </fill>
    <fill>
      <patternFill patternType="solid">
        <fgColor rgb="00198754"/>
      </patternFill>
    </fill>
    <fill>
      <patternFill patternType="solid">
        <fgColor rgb="00D4EDDA"/>
      </patternFill>
    </fill>
    <fill>
      <patternFill patternType="solid">
        <fgColor rgb="00CC3300"/>
      </patternFill>
    </fill>
    <fill>
      <patternFill patternType="solid">
        <fgColor rgb="00495057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FFE5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15" customWidth="1" min="5" max="5"/>
    <col width="12" customWidth="1" min="6" max="6"/>
    <col width="45" customWidth="1" min="7" max="7"/>
    <col width="40" customWidth="1" min="8" max="8"/>
    <col width="30" customWidth="1" min="9" max="9"/>
    <col width="30" customWidth="1" min="10" max="10"/>
    <col width="38" customWidth="1" min="11" max="11"/>
    <col width="14" customWidth="1" min="12" max="12"/>
    <col width="20" customWidth="1" min="13" max="13"/>
    <col width="14" customWidth="1" min="14" max="14"/>
  </cols>
  <sheetData>
    <row r="1" ht="36" customHeight="1">
      <c r="A1" s="1" t="inlineStr">
        <is>
          <t>🏍️  CATÁLOGO DE PRODUTOS — Link 360</t>
        </is>
      </c>
    </row>
    <row r="2" ht="40" customHeight="1">
      <c r="A2" s="2" t="inlineStr">
        <is>
          <t>ID</t>
        </is>
      </c>
      <c r="B2" s="2" t="inlineStr">
        <is>
          <t>Nome do Produto *</t>
        </is>
      </c>
      <c r="C2" s="2" t="inlineStr">
        <is>
          <t>Categoria *</t>
        </is>
      </c>
      <c r="D2" s="2" t="inlineStr">
        <is>
          <t>Velocidade Máx.</t>
        </is>
      </c>
      <c r="E2" s="2" t="inlineStr">
        <is>
          <t>Potência (Motor)</t>
        </is>
      </c>
      <c r="F2" s="2" t="inlineStr">
        <is>
          <t>Autonomia</t>
        </is>
      </c>
      <c r="G2" s="2" t="inlineStr">
        <is>
          <t>Descrição *</t>
        </is>
      </c>
      <c r="H2" s="3" t="inlineStr">
        <is>
          <t>🖼️ Imagem Destaque (URL)</t>
        </is>
      </c>
      <c r="I2" s="2" t="inlineStr">
        <is>
          <t>Imagem 2 (URL)</t>
        </is>
      </c>
      <c r="J2" s="2" t="inlineStr">
        <is>
          <t>Imagem 3 (URL)</t>
        </is>
      </c>
      <c r="K2" s="2" t="inlineStr">
        <is>
          <t>Link do Produto (URL)</t>
        </is>
      </c>
      <c r="L2" s="2" t="inlineStr">
        <is>
          <t>Preço (R$)</t>
        </is>
      </c>
      <c r="M2" s="3" t="inlineStr">
        <is>
          <t>🔥 Oferta em Destaque?</t>
        </is>
      </c>
      <c r="N2" s="2" t="inlineStr">
        <is>
          <t>Status</t>
        </is>
      </c>
    </row>
    <row r="3" ht="22" customHeight="1">
      <c r="A3" s="4" t="n">
        <v>1</v>
      </c>
      <c r="B3" s="5" t="inlineStr">
        <is>
          <t>Giga</t>
        </is>
      </c>
      <c r="C3" s="4" t="inlineStr">
        <is>
          <t>Autopropelidos</t>
        </is>
      </c>
      <c r="D3" s="4" t="inlineStr">
        <is>
          <t>32 km/h</t>
        </is>
      </c>
      <c r="E3" s="4" t="inlineStr">
        <is>
          <t>1000 W</t>
        </is>
      </c>
      <c r="F3" s="4" t="inlineStr">
        <is>
          <t>40 km</t>
        </is>
      </c>
      <c r="G3" s="6" t="inlineStr">
        <is>
          <t>Frente agressiva, farol e setas em LED e painel digital futurista. Escolha de quem quer sair do óbvio, chegar em silêncio e causar impacto.</t>
        </is>
      </c>
      <c r="H3" s="5" t="inlineStr">
        <is>
          <t>https://motochefebrasil.com.br/wp-content/uploads/2025/11/Giga_modelo.webp</t>
        </is>
      </c>
      <c r="I3" s="5" t="inlineStr"/>
      <c r="J3" s="5" t="inlineStr"/>
      <c r="K3" s="5" t="inlineStr">
        <is>
          <t>https://motochefebrasil.com.br/modelos/giga</t>
        </is>
      </c>
      <c r="L3" s="4" t="inlineStr"/>
      <c r="M3" s="4" t="inlineStr">
        <is>
          <t>Não</t>
        </is>
      </c>
      <c r="N3" s="4" t="inlineStr">
        <is>
          <t>Ativo</t>
        </is>
      </c>
    </row>
    <row r="4" ht="22" customHeight="1">
      <c r="A4" s="7" t="n">
        <v>2</v>
      </c>
      <c r="B4" s="8" t="inlineStr">
        <is>
          <t>JET MAX</t>
        </is>
      </c>
      <c r="C4" s="7" t="inlineStr">
        <is>
          <t>Autopropelidos</t>
        </is>
      </c>
      <c r="D4" s="7" t="inlineStr">
        <is>
          <t>32 km/h</t>
        </is>
      </c>
      <c r="E4" s="7" t="inlineStr">
        <is>
          <t>1000 W</t>
        </is>
      </c>
      <c r="F4" s="7" t="inlineStr">
        <is>
          <t>55 km</t>
        </is>
      </c>
      <c r="G4" s="9" t="inlineStr">
        <is>
          <t>Visual esportivo de scooter robusta com tecnologia e conforto. Motor 1000W com 55 km de autonomia.</t>
        </is>
      </c>
      <c r="H4" s="8" t="inlineStr">
        <is>
          <t>https://motochefebrasil.com.br/wp-content/uploads/2025/11/JET-MAX-_-Oficial-2_b.webp</t>
        </is>
      </c>
      <c r="I4" s="8" t="inlineStr"/>
      <c r="J4" s="8" t="inlineStr"/>
      <c r="K4" s="8" t="inlineStr">
        <is>
          <t>https://motochefebrasil.com.br/modelos/jet-max</t>
        </is>
      </c>
      <c r="L4" s="7" t="inlineStr"/>
      <c r="M4" s="7" t="inlineStr">
        <is>
          <t>Não</t>
        </is>
      </c>
      <c r="N4" s="7" t="inlineStr">
        <is>
          <t>Ativo</t>
        </is>
      </c>
    </row>
    <row r="5" ht="22" customHeight="1">
      <c r="A5" s="4" t="n">
        <v>3</v>
      </c>
      <c r="B5" s="5" t="inlineStr">
        <is>
          <t>X12</t>
        </is>
      </c>
      <c r="C5" s="4" t="inlineStr">
        <is>
          <t>Autopropelidos</t>
        </is>
      </c>
      <c r="D5" s="4" t="inlineStr">
        <is>
          <t>32 km/h</t>
        </is>
      </c>
      <c r="E5" s="4" t="inlineStr">
        <is>
          <t>1000 W</t>
        </is>
      </c>
      <c r="F5" s="4" t="inlineStr">
        <is>
          <t>40 km</t>
        </is>
      </c>
      <c r="G5" s="6" t="inlineStr">
        <is>
          <t>Scooter elétrica que redefine mobilidade urbana. Compacta, potente e tecnológica com 1000W e até 50 km de autonomia.</t>
        </is>
      </c>
      <c r="H5" s="5" t="inlineStr">
        <is>
          <t>https://motochefebrasil.com.br/wp-content/uploads/2025/10/x12b.webp</t>
        </is>
      </c>
      <c r="I5" s="5" t="inlineStr"/>
      <c r="J5" s="5" t="inlineStr"/>
      <c r="K5" s="5" t="inlineStr">
        <is>
          <t>https://motochefebrasil.com.br/modelos/x12/</t>
        </is>
      </c>
      <c r="L5" s="4" t="inlineStr"/>
      <c r="M5" s="4" t="inlineStr">
        <is>
          <t>Não</t>
        </is>
      </c>
      <c r="N5" s="4" t="inlineStr">
        <is>
          <t>Ativo</t>
        </is>
      </c>
    </row>
    <row r="6" ht="22" customHeight="1">
      <c r="A6" s="7" t="n">
        <v>4</v>
      </c>
      <c r="B6" s="8" t="inlineStr">
        <is>
          <t>BOB</t>
        </is>
      </c>
      <c r="C6" s="7" t="inlineStr">
        <is>
          <t>Autopropelidos</t>
        </is>
      </c>
      <c r="D6" s="7" t="inlineStr">
        <is>
          <t>32 km/h</t>
        </is>
      </c>
      <c r="E6" s="7" t="inlineStr">
        <is>
          <t>1000 W</t>
        </is>
      </c>
      <c r="F6" s="7" t="inlineStr">
        <is>
          <t>40 km</t>
        </is>
      </c>
      <c r="G6" s="9" t="inlineStr">
        <is>
          <t>Posição confortável, plataforma baixa, assento amplo com espaço para carona e encosto traseiro.</t>
        </is>
      </c>
      <c r="H6" s="8" t="inlineStr">
        <is>
          <t>https://motochefebrasil.com.br/wp-content/uploads/2025/10/bob_1.webp</t>
        </is>
      </c>
      <c r="I6" s="8" t="inlineStr"/>
      <c r="J6" s="8" t="inlineStr"/>
      <c r="K6" s="8" t="inlineStr">
        <is>
          <t>https://motochefebrasil.com.br/modelos/bob</t>
        </is>
      </c>
      <c r="L6" s="7" t="inlineStr"/>
      <c r="M6" s="7" t="inlineStr">
        <is>
          <t>Não</t>
        </is>
      </c>
      <c r="N6" s="7" t="inlineStr">
        <is>
          <t>Ativo</t>
        </is>
      </c>
    </row>
    <row r="7" ht="22" customHeight="1">
      <c r="A7" s="4" t="n">
        <v>5</v>
      </c>
      <c r="B7" s="5" t="inlineStr">
        <is>
          <t>JET</t>
        </is>
      </c>
      <c r="C7" s="4" t="inlineStr">
        <is>
          <t>Autopropelidos</t>
        </is>
      </c>
      <c r="D7" s="4" t="inlineStr">
        <is>
          <t>32 km/h</t>
        </is>
      </c>
      <c r="E7" s="4" t="inlineStr">
        <is>
          <t>1000 W</t>
        </is>
      </c>
      <c r="F7" s="4" t="inlineStr">
        <is>
          <t>40 km</t>
        </is>
      </c>
      <c r="G7" s="6" t="inlineStr">
        <is>
          <t>Visual agressivo, zero burocracia: ligou, acelerou, chegou.</t>
        </is>
      </c>
      <c r="H7" s="5" t="inlineStr">
        <is>
          <t>https://motochefebrasil.com.br/wp-content/uploads/2025/10/JET_1-1.webp</t>
        </is>
      </c>
      <c r="I7" s="5" t="inlineStr"/>
      <c r="J7" s="5" t="inlineStr"/>
      <c r="K7" s="5" t="inlineStr">
        <is>
          <t>https://motochefebrasil.com.br/modelos/jet</t>
        </is>
      </c>
      <c r="L7" s="4" t="inlineStr"/>
      <c r="M7" s="4" t="inlineStr">
        <is>
          <t>Não</t>
        </is>
      </c>
      <c r="N7" s="4" t="inlineStr">
        <is>
          <t>Ativo</t>
        </is>
      </c>
    </row>
    <row r="8" ht="22" customHeight="1">
      <c r="A8" s="7" t="n">
        <v>6</v>
      </c>
      <c r="B8" s="8" t="inlineStr">
        <is>
          <t>Joyzinha</t>
        </is>
      </c>
      <c r="C8" s="7" t="inlineStr">
        <is>
          <t>Autopropelidos</t>
        </is>
      </c>
      <c r="D8" s="7" t="inlineStr">
        <is>
          <t>32 km/h</t>
        </is>
      </c>
      <c r="E8" s="7" t="inlineStr">
        <is>
          <t>600 W</t>
        </is>
      </c>
      <c r="F8" s="7" t="inlineStr">
        <is>
          <t>40 km</t>
        </is>
      </c>
      <c r="G8" s="9" t="inlineStr">
        <is>
          <t>Design para o dia a dia, parceira ideal para trabalho, faculdade ou passeio na orla.</t>
        </is>
      </c>
      <c r="H8" s="8" t="inlineStr">
        <is>
          <t>https://motochefebrasil.com.br/wp-content/uploads/2025/11/5.webp</t>
        </is>
      </c>
      <c r="I8" s="8" t="inlineStr"/>
      <c r="J8" s="8" t="inlineStr"/>
      <c r="K8" s="8" t="inlineStr">
        <is>
          <t>https://motochefebrasil.com.br/modelos/joyzinha</t>
        </is>
      </c>
      <c r="L8" s="7" t="inlineStr"/>
      <c r="M8" s="7" t="inlineStr">
        <is>
          <t>Não</t>
        </is>
      </c>
      <c r="N8" s="7" t="inlineStr">
        <is>
          <t>Ativo</t>
        </is>
      </c>
    </row>
    <row r="9" ht="22" customHeight="1">
      <c r="A9" s="4" t="n">
        <v>7</v>
      </c>
      <c r="B9" s="5" t="inlineStr">
        <is>
          <t>Joy Classic</t>
        </is>
      </c>
      <c r="C9" s="4" t="inlineStr">
        <is>
          <t>Autopropelidos</t>
        </is>
      </c>
      <c r="D9" s="4" t="inlineStr">
        <is>
          <t>32 km/h</t>
        </is>
      </c>
      <c r="E9" s="4" t="inlineStr">
        <is>
          <t>600 W</t>
        </is>
      </c>
      <c r="F9" s="4" t="inlineStr">
        <is>
          <t>40 km</t>
        </is>
      </c>
      <c r="G9" s="6" t="inlineStr">
        <is>
          <t>Estilo clássico, conforto de sobra e autonomia para o seu dia.</t>
        </is>
      </c>
      <c r="H9" s="5" t="inlineStr">
        <is>
          <t>https://motochefebrasil.com.br/wp-content/uploads/2025/10/JOY-CLASSIC-_1-1.webp</t>
        </is>
      </c>
      <c r="I9" s="5" t="inlineStr"/>
      <c r="J9" s="5" t="inlineStr"/>
      <c r="K9" s="5" t="inlineStr">
        <is>
          <t>https://motochefebrasil.com.br/modelos/joy-classic</t>
        </is>
      </c>
      <c r="L9" s="4" t="inlineStr"/>
      <c r="M9" s="4" t="inlineStr">
        <is>
          <t>Não</t>
        </is>
      </c>
      <c r="N9" s="4" t="inlineStr">
        <is>
          <t>Ativo</t>
        </is>
      </c>
    </row>
    <row r="10" ht="22" customHeight="1">
      <c r="A10" s="7" t="n">
        <v>8</v>
      </c>
      <c r="B10" s="8" t="inlineStr">
        <is>
          <t>Joy Super</t>
        </is>
      </c>
      <c r="C10" s="7" t="inlineStr">
        <is>
          <t>Autopropelidos</t>
        </is>
      </c>
      <c r="D10" s="7" t="inlineStr">
        <is>
          <t>32 km/h</t>
        </is>
      </c>
      <c r="E10" s="7" t="inlineStr">
        <is>
          <t>800 W</t>
        </is>
      </c>
      <c r="F10" s="7" t="inlineStr">
        <is>
          <t>40 km</t>
        </is>
      </c>
      <c r="G10" s="9" t="inlineStr">
        <is>
          <t>Visual agressivo, zero burocracia: ligou, acelerou, chegou.</t>
        </is>
      </c>
      <c r="H10" s="8" t="inlineStr">
        <is>
          <t>https://motochefebrasil.com.br/wp-content/uploads/2025/10/JOY-SUPER-1-1.webp</t>
        </is>
      </c>
      <c r="I10" s="8" t="inlineStr"/>
      <c r="J10" s="8" t="inlineStr"/>
      <c r="K10" s="8" t="inlineStr">
        <is>
          <t>https://motochefebrasil.com.br/modelos/joy-super</t>
        </is>
      </c>
      <c r="L10" s="7" t="inlineStr"/>
      <c r="M10" s="7" t="inlineStr">
        <is>
          <t>Não</t>
        </is>
      </c>
      <c r="N10" s="7" t="inlineStr">
        <is>
          <t>Ativo</t>
        </is>
      </c>
    </row>
    <row r="11" ht="22" customHeight="1">
      <c r="A11" s="4" t="n">
        <v>9</v>
      </c>
      <c r="B11" s="5" t="inlineStr">
        <is>
          <t>MC20 Mini</t>
        </is>
      </c>
      <c r="C11" s="4" t="inlineStr">
        <is>
          <t>Autopropelidos</t>
        </is>
      </c>
      <c r="D11" s="4" t="inlineStr">
        <is>
          <t>32 km/h</t>
        </is>
      </c>
      <c r="E11" s="4" t="inlineStr">
        <is>
          <t>1000 W</t>
        </is>
      </c>
      <c r="F11" s="4" t="inlineStr">
        <is>
          <t>40 km</t>
        </is>
      </c>
      <c r="G11" s="6" t="inlineStr">
        <is>
          <t>Farol FULL LED, freio a disco hidráulico, bateria removível turbo 5A, suporta até 180 kg.</t>
        </is>
      </c>
      <c r="H11" s="5" t="inlineStr">
        <is>
          <t>https://motochefebrasil.com.br/wp-content/uploads/2025/10/MC20-1-1.webp</t>
        </is>
      </c>
      <c r="I11" s="5" t="inlineStr"/>
      <c r="J11" s="5" t="inlineStr"/>
      <c r="K11" s="5" t="inlineStr">
        <is>
          <t>https://motochefebrasil.com.br/modelos/mc20-mini</t>
        </is>
      </c>
      <c r="L11" s="4" t="inlineStr"/>
      <c r="M11" s="4" t="inlineStr">
        <is>
          <t>Não</t>
        </is>
      </c>
      <c r="N11" s="4" t="inlineStr">
        <is>
          <t>Ativo</t>
        </is>
      </c>
    </row>
    <row r="12" ht="22" customHeight="1">
      <c r="A12" s="7" t="n">
        <v>10</v>
      </c>
      <c r="B12" s="8" t="inlineStr">
        <is>
          <t>MC21 Mini</t>
        </is>
      </c>
      <c r="C12" s="7" t="inlineStr">
        <is>
          <t>Autopropelidos</t>
        </is>
      </c>
      <c r="D12" s="7" t="inlineStr">
        <is>
          <t>32 km/h</t>
        </is>
      </c>
      <c r="E12" s="7" t="inlineStr">
        <is>
          <t>1000 W</t>
        </is>
      </c>
      <c r="F12" s="7" t="inlineStr">
        <is>
          <t>40 km</t>
        </is>
      </c>
      <c r="G12" s="9" t="inlineStr">
        <is>
          <t>Equilíbrio perfeito entre design minimalista e desempenho elétrico. Bateria de lítio removível.</t>
        </is>
      </c>
      <c r="H12" s="8" t="inlineStr">
        <is>
          <t>https://motochefebrasil.com.br/wp-content/uploads/2025/11/mc21_mini_tin.webp</t>
        </is>
      </c>
      <c r="I12" s="8" t="inlineStr"/>
      <c r="J12" s="8" t="inlineStr"/>
      <c r="K12" s="8" t="inlineStr">
        <is>
          <t>https://motochefebrasil.com.br/modelos/mc21-mini</t>
        </is>
      </c>
      <c r="L12" s="7" t="inlineStr"/>
      <c r="M12" s="7" t="inlineStr">
        <is>
          <t>Não</t>
        </is>
      </c>
      <c r="N12" s="7" t="inlineStr">
        <is>
          <t>Ativo</t>
        </is>
      </c>
    </row>
    <row r="13" ht="22" customHeight="1">
      <c r="A13" s="4" t="n">
        <v>11</v>
      </c>
      <c r="B13" s="5" t="inlineStr">
        <is>
          <t>Mia</t>
        </is>
      </c>
      <c r="C13" s="4" t="inlineStr">
        <is>
          <t>Autopropelidos</t>
        </is>
      </c>
      <c r="D13" s="4" t="inlineStr">
        <is>
          <t>32 km/h</t>
        </is>
      </c>
      <c r="E13" s="4" t="inlineStr">
        <is>
          <t>1000 W</t>
        </is>
      </c>
      <c r="F13" s="4" t="inlineStr">
        <is>
          <t>40 km</t>
        </is>
      </c>
      <c r="G13" s="6" t="inlineStr">
        <is>
          <t>Não é necessária CNH para conduzir um equipamento autopropelido (Resolução nº 996/2023 do Contran).</t>
        </is>
      </c>
      <c r="H13" s="5" t="inlineStr">
        <is>
          <t>https://motochefebrasil.com.br/wp-content/uploads/2025/10/MIA-1-1.webp</t>
        </is>
      </c>
      <c r="I13" s="5" t="inlineStr"/>
      <c r="J13" s="5" t="inlineStr"/>
      <c r="K13" s="5" t="inlineStr">
        <is>
          <t>https://motochefebrasil.com.br/modelos/mia</t>
        </is>
      </c>
      <c r="L13" s="4" t="inlineStr"/>
      <c r="M13" s="4" t="inlineStr">
        <is>
          <t>Não</t>
        </is>
      </c>
      <c r="N13" s="4" t="inlineStr">
        <is>
          <t>Ativo</t>
        </is>
      </c>
    </row>
    <row r="14" ht="22" customHeight="1">
      <c r="A14" s="7" t="n">
        <v>12</v>
      </c>
      <c r="B14" s="8" t="inlineStr">
        <is>
          <t>Sofia</t>
        </is>
      </c>
      <c r="C14" s="7" t="inlineStr">
        <is>
          <t>Autopropelidos</t>
        </is>
      </c>
      <c r="D14" s="7" t="inlineStr">
        <is>
          <t>32 km/h</t>
        </is>
      </c>
      <c r="E14" s="7" t="inlineStr">
        <is>
          <t>1000 W</t>
        </is>
      </c>
      <c r="F14" s="7" t="inlineStr">
        <is>
          <t>40 km</t>
        </is>
      </c>
      <c r="G14" s="9" t="inlineStr">
        <is>
          <t>Combina estilo clássico e tecnologia moderna. Motor 1000W, 32 km/h e autonomia de até 40 km.</t>
        </is>
      </c>
      <c r="H14" s="8" t="inlineStr">
        <is>
          <t>https://motochefebrasil.com.br/wp-content/uploads/2025/11/sofia_web3_tiny.webp</t>
        </is>
      </c>
      <c r="I14" s="8" t="inlineStr"/>
      <c r="J14" s="8" t="inlineStr"/>
      <c r="K14" s="8" t="inlineStr">
        <is>
          <t>https://motochefebrasil.com.br/modelos/sofia</t>
        </is>
      </c>
      <c r="L14" s="7" t="inlineStr"/>
      <c r="M14" s="7" t="inlineStr">
        <is>
          <t>Não</t>
        </is>
      </c>
      <c r="N14" s="7" t="inlineStr">
        <is>
          <t>Ativo</t>
        </is>
      </c>
    </row>
    <row r="15" ht="22" customHeight="1">
      <c r="A15" s="4" t="n">
        <v>13</v>
      </c>
      <c r="B15" s="5" t="inlineStr">
        <is>
          <t>Ret</t>
        </is>
      </c>
      <c r="C15" s="4" t="inlineStr">
        <is>
          <t>Autopropelidos</t>
        </is>
      </c>
      <c r="D15" s="4" t="inlineStr">
        <is>
          <t>32 km/h</t>
        </is>
      </c>
      <c r="E15" s="4" t="inlineStr">
        <is>
          <t>1000 W</t>
        </is>
      </c>
      <c r="F15" s="4" t="inlineStr">
        <is>
          <t>40 km</t>
        </is>
      </c>
      <c r="G15" s="6" t="inlineStr">
        <is>
          <t>Visual agressivo, zero burocracia: ligou, acelerou, chegou.</t>
        </is>
      </c>
      <c r="H15" s="5" t="inlineStr">
        <is>
          <t>https://motochefebrasil.com.br/wp-content/uploads/2025/10/RET-1-1.webp</t>
        </is>
      </c>
      <c r="I15" s="5" t="inlineStr"/>
      <c r="J15" s="5" t="inlineStr"/>
      <c r="K15" s="5" t="inlineStr">
        <is>
          <t>https://motochefebrasil.com.br/modelos/ret</t>
        </is>
      </c>
      <c r="L15" s="4" t="inlineStr"/>
      <c r="M15" s="4" t="inlineStr">
        <is>
          <t>Não</t>
        </is>
      </c>
      <c r="N15" s="4" t="inlineStr">
        <is>
          <t>Ativo</t>
        </is>
      </c>
    </row>
    <row r="16" ht="22" customHeight="1">
      <c r="A16" s="7" t="n">
        <v>14</v>
      </c>
      <c r="B16" s="8" t="inlineStr">
        <is>
          <t>Soma</t>
        </is>
      </c>
      <c r="C16" s="7" t="inlineStr">
        <is>
          <t>Autopropelidos</t>
        </is>
      </c>
      <c r="D16" s="7" t="inlineStr">
        <is>
          <t>32 km/h</t>
        </is>
      </c>
      <c r="E16" s="7" t="inlineStr">
        <is>
          <t>1000 W</t>
        </is>
      </c>
      <c r="F16" s="7" t="inlineStr">
        <is>
          <t>40 km</t>
        </is>
      </c>
      <c r="G16" s="9" t="inlineStr">
        <is>
          <t>Sem CNH, sem emplacamento. Motor 1000W, bateria 60V 20Ah removível e 40 km de autonomia.</t>
        </is>
      </c>
      <c r="H16" s="8" t="inlineStr">
        <is>
          <t>https://motochefebrasil.com.br/wp-content/uploads/2025/10/Soma-1-1-1.webp</t>
        </is>
      </c>
      <c r="I16" s="8" t="inlineStr"/>
      <c r="J16" s="8" t="inlineStr"/>
      <c r="K16" s="8" t="inlineStr">
        <is>
          <t>https://motochefebrasil.com.br/modelos/soma</t>
        </is>
      </c>
      <c r="L16" s="7" t="inlineStr"/>
      <c r="M16" s="7" t="inlineStr">
        <is>
          <t>Não</t>
        </is>
      </c>
      <c r="N16" s="7" t="inlineStr">
        <is>
          <t>Ativo</t>
        </is>
      </c>
    </row>
    <row r="17" ht="22" customHeight="1">
      <c r="A17" s="4" t="n">
        <v>15</v>
      </c>
      <c r="B17" s="5" t="inlineStr">
        <is>
          <t>Mia Tri</t>
        </is>
      </c>
      <c r="C17" s="4" t="inlineStr">
        <is>
          <t>Autopropelidos</t>
        </is>
      </c>
      <c r="D17" s="4" t="inlineStr">
        <is>
          <t>32 km/h</t>
        </is>
      </c>
      <c r="E17" s="4" t="inlineStr">
        <is>
          <t>800 W</t>
        </is>
      </c>
      <c r="F17" s="4" t="inlineStr">
        <is>
          <t>40 km</t>
        </is>
      </c>
      <c r="G17" s="6" t="inlineStr">
        <is>
          <t>Triciclo elétrico 800W para quem quer segurança, praticidade e estilo.</t>
        </is>
      </c>
      <c r="H17" s="5" t="inlineStr">
        <is>
          <t>https://motochefebrasil.com.br/wp-content/uploads/2025/10/MIA-TRI-01-1.webp</t>
        </is>
      </c>
      <c r="I17" s="5" t="inlineStr"/>
      <c r="J17" s="5" t="inlineStr"/>
      <c r="K17" s="5" t="inlineStr">
        <is>
          <t>https://motochefebrasil.com.br/modelos/mia-tri</t>
        </is>
      </c>
      <c r="L17" s="4" t="inlineStr"/>
      <c r="M17" s="4" t="inlineStr">
        <is>
          <t>Não</t>
        </is>
      </c>
      <c r="N17" s="4" t="inlineStr">
        <is>
          <t>Ativo</t>
        </is>
      </c>
    </row>
    <row r="18" ht="22" customHeight="1">
      <c r="A18" s="7" t="n">
        <v>16</v>
      </c>
      <c r="B18" s="8" t="inlineStr">
        <is>
          <t>Joy Tri</t>
        </is>
      </c>
      <c r="C18" s="7" t="inlineStr">
        <is>
          <t>Autopropelidos</t>
        </is>
      </c>
      <c r="D18" s="7" t="inlineStr">
        <is>
          <t>30 km/h</t>
        </is>
      </c>
      <c r="E18" s="7" t="inlineStr">
        <is>
          <t>600 W</t>
        </is>
      </c>
      <c r="F18" s="7" t="inlineStr">
        <is>
          <t>40 km</t>
        </is>
      </c>
      <c r="G18" s="9" t="inlineStr">
        <is>
          <t>Chassi robusto de três rodas com estabilidade e confiança para o dia a dia.</t>
        </is>
      </c>
      <c r="H18" s="8" t="inlineStr">
        <is>
          <t>https://motochefebrasil.com.br/wp-content/uploads/2025/10/JOY-TRI-1-1.webp</t>
        </is>
      </c>
      <c r="I18" s="8" t="inlineStr"/>
      <c r="J18" s="8" t="inlineStr"/>
      <c r="K18" s="8" t="inlineStr">
        <is>
          <t>https://motochefebrasil.com.br/modelos/joy-tri</t>
        </is>
      </c>
      <c r="L18" s="7" t="inlineStr"/>
      <c r="M18" s="7" t="inlineStr">
        <is>
          <t>Não</t>
        </is>
      </c>
      <c r="N18" s="7" t="inlineStr">
        <is>
          <t>Ativo</t>
        </is>
      </c>
    </row>
    <row r="19" ht="22" customHeight="1">
      <c r="A19" s="4" t="n">
        <v>17</v>
      </c>
      <c r="B19" s="5" t="inlineStr">
        <is>
          <t>BIG TRI</t>
        </is>
      </c>
      <c r="C19" s="4" t="inlineStr">
        <is>
          <t>Autopropelidos</t>
        </is>
      </c>
      <c r="D19" s="4" t="inlineStr">
        <is>
          <t>32 km/h</t>
        </is>
      </c>
      <c r="E19" s="4" t="inlineStr">
        <is>
          <t>1000 W</t>
        </is>
      </c>
      <c r="F19" s="4" t="inlineStr">
        <is>
          <t>40 km</t>
        </is>
      </c>
      <c r="G19" s="6" t="inlineStr">
        <is>
          <t>Liberdade com segurança. Design retrô, conforto e tecnologia moderna em triciclo elétrico 1000W.</t>
        </is>
      </c>
      <c r="H19" s="5" t="inlineStr">
        <is>
          <t>https://motochefebrasil.com.br/wp-content/uploads/2025/11/big_tri.webp</t>
        </is>
      </c>
      <c r="I19" s="5" t="inlineStr"/>
      <c r="J19" s="5" t="inlineStr"/>
      <c r="K19" s="5" t="inlineStr">
        <is>
          <t>https://motochefebrasil.com.br/modelos/big-tri/</t>
        </is>
      </c>
      <c r="L19" s="4" t="inlineStr"/>
      <c r="M19" s="4" t="inlineStr">
        <is>
          <t>Não</t>
        </is>
      </c>
      <c r="N19" s="4" t="inlineStr">
        <is>
          <t>Ativo</t>
        </is>
      </c>
    </row>
    <row r="20" ht="22" customHeight="1">
      <c r="A20" s="7" t="n">
        <v>18</v>
      </c>
      <c r="B20" s="8" t="inlineStr">
        <is>
          <t>VED</t>
        </is>
      </c>
      <c r="C20" s="7" t="inlineStr">
        <is>
          <t>Autopropelidos</t>
        </is>
      </c>
      <c r="D20" s="7" t="inlineStr">
        <is>
          <t>32 km/h</t>
        </is>
      </c>
      <c r="E20" s="7" t="inlineStr">
        <is>
          <t>1000 W</t>
        </is>
      </c>
      <c r="F20" s="7" t="inlineStr">
        <is>
          <t>40 km</t>
        </is>
      </c>
      <c r="G20" s="9" t="inlineStr">
        <is>
          <t>Mobilidade elétrica acessível, segura e confortável. Motor 1000W e autonomia de até 40 km.</t>
        </is>
      </c>
      <c r="H20" s="8" t="inlineStr">
        <is>
          <t>https://motochefebrasil.com.br/wp-content/uploads/2025/11/ved_1-1.webp</t>
        </is>
      </c>
      <c r="I20" s="8" t="inlineStr"/>
      <c r="J20" s="8" t="inlineStr"/>
      <c r="K20" s="8" t="inlineStr">
        <is>
          <t>https://motochefebrasil.com.br/modelos/ved</t>
        </is>
      </c>
      <c r="L20" s="7" t="inlineStr"/>
      <c r="M20" s="7" t="inlineStr">
        <is>
          <t>Não</t>
        </is>
      </c>
      <c r="N20" s="7" t="inlineStr">
        <is>
          <t>Ativo</t>
        </is>
      </c>
    </row>
    <row r="21" ht="22" customHeight="1">
      <c r="A21" s="4" t="n">
        <v>19</v>
      </c>
      <c r="B21" s="5" t="inlineStr">
        <is>
          <t>X11</t>
        </is>
      </c>
      <c r="C21" s="4" t="inlineStr">
        <is>
          <t>Ciclomotor</t>
        </is>
      </c>
      <c r="D21" s="4" t="inlineStr">
        <is>
          <t>50 km/h</t>
        </is>
      </c>
      <c r="E21" s="4" t="inlineStr">
        <is>
          <t>2000 W</t>
        </is>
      </c>
      <c r="F21" s="4" t="inlineStr">
        <is>
          <t>80 km</t>
        </is>
      </c>
      <c r="G21" s="6" t="inlineStr">
        <is>
          <t>Design robusto e presença marcante com soluções modernas de mobilidade elétrica.</t>
        </is>
      </c>
      <c r="H21" s="5" t="inlineStr">
        <is>
          <t>https://motochefebrasil.com.br/wp-content/uploads/2025/11/x11__-1.webp</t>
        </is>
      </c>
      <c r="I21" s="5" t="inlineStr"/>
      <c r="J21" s="5" t="inlineStr"/>
      <c r="K21" s="5" t="inlineStr">
        <is>
          <t>https://motochefebrasil.com.br/modelos/x11</t>
        </is>
      </c>
      <c r="L21" s="4" t="inlineStr"/>
      <c r="M21" s="4" t="inlineStr">
        <is>
          <t>Não</t>
        </is>
      </c>
      <c r="N21" s="4" t="inlineStr">
        <is>
          <t>Ativo</t>
        </is>
      </c>
    </row>
    <row r="22" ht="22" customHeight="1">
      <c r="A22" s="7" t="n">
        <v>20</v>
      </c>
      <c r="B22" s="8" t="inlineStr">
        <is>
          <t>MC20</t>
        </is>
      </c>
      <c r="C22" s="7" t="inlineStr">
        <is>
          <t>Ciclomotor</t>
        </is>
      </c>
      <c r="D22" s="7" t="inlineStr">
        <is>
          <t>50 km/h</t>
        </is>
      </c>
      <c r="E22" s="7" t="inlineStr">
        <is>
          <t>2000 W</t>
        </is>
      </c>
      <c r="F22" s="7" t="inlineStr">
        <is>
          <t>40 km</t>
        </is>
      </c>
      <c r="G22" s="9" t="inlineStr">
        <is>
          <t>2000W ou 3000W, NFC, alarme com bloqueio, painel digital e até 80 km com bateria extra. Visual chopper, IP65.</t>
        </is>
      </c>
      <c r="H22" s="8" t="inlineStr">
        <is>
          <t>https://motochefebrasil.com.br/wp-content/uploads/2025/11/mc20_pop-1.webp</t>
        </is>
      </c>
      <c r="I22" s="8" t="inlineStr"/>
      <c r="J22" s="8" t="inlineStr"/>
      <c r="K22" s="8" t="inlineStr">
        <is>
          <t>https://motochefebrasil.com.br/modelos/mc20/</t>
        </is>
      </c>
      <c r="L22" s="7" t="inlineStr"/>
      <c r="M22" s="7" t="inlineStr">
        <is>
          <t>Não</t>
        </is>
      </c>
      <c r="N22" s="7" t="inlineStr">
        <is>
          <t>Ativo</t>
        </is>
      </c>
    </row>
    <row r="23" ht="22" customHeight="1">
      <c r="A23" s="4" t="n">
        <v>21</v>
      </c>
      <c r="B23" s="5" t="inlineStr">
        <is>
          <t>X15</t>
        </is>
      </c>
      <c r="C23" s="4" t="inlineStr">
        <is>
          <t>Ciclomotor</t>
        </is>
      </c>
      <c r="D23" s="4" t="inlineStr">
        <is>
          <t>50 km/h</t>
        </is>
      </c>
      <c r="E23" s="4" t="inlineStr">
        <is>
          <t>3000 W</t>
        </is>
      </c>
      <c r="F23" s="4" t="inlineStr">
        <is>
          <t>40 km</t>
        </is>
      </c>
      <c r="G23" s="6" t="inlineStr">
        <is>
          <t>Triciclo elétrico potente e seguro com motor 3000W para aceleração firme e desempenho consistente.</t>
        </is>
      </c>
      <c r="H23" s="5" t="inlineStr">
        <is>
          <t>https://motochefebrasil.com.br/wp-content/uploads/2025/11/x15.webp</t>
        </is>
      </c>
      <c r="I23" s="5" t="inlineStr"/>
      <c r="J23" s="5" t="inlineStr"/>
      <c r="K23" s="5" t="inlineStr">
        <is>
          <t>https://motochefebrasil.com.br/modelos/x15</t>
        </is>
      </c>
      <c r="L23" s="4" t="inlineStr"/>
      <c r="M23" s="4" t="inlineStr">
        <is>
          <t>Não</t>
        </is>
      </c>
      <c r="N23" s="4" t="inlineStr">
        <is>
          <t>Ativo</t>
        </is>
      </c>
    </row>
    <row r="24" ht="22" customHeight="1">
      <c r="A24" s="7" t="n">
        <v>22</v>
      </c>
      <c r="B24" s="8" t="inlineStr">
        <is>
          <t>Roma</t>
        </is>
      </c>
      <c r="C24" s="7" t="inlineStr">
        <is>
          <t>Ciclomotor</t>
        </is>
      </c>
      <c r="D24" s="7" t="inlineStr">
        <is>
          <t>50 km/h</t>
        </is>
      </c>
      <c r="E24" s="7" t="inlineStr">
        <is>
          <t>3000 W</t>
        </is>
      </c>
      <c r="F24" s="7" t="inlineStr">
        <is>
          <t>50 km</t>
        </is>
      </c>
      <c r="G24" s="9" t="inlineStr">
        <is>
          <t>Charme retrô europeu com tecnologia elétrica moderna. 3000W, 50 km de autonomia.</t>
        </is>
      </c>
      <c r="H24" s="8" t="inlineStr">
        <is>
          <t>https://motochefebrasil.com.br/wp-content/uploads/2025/11/roma_ai_sombra-1.webp</t>
        </is>
      </c>
      <c r="I24" s="8" t="inlineStr"/>
      <c r="J24" s="8" t="inlineStr"/>
      <c r="K24" s="8" t="inlineStr">
        <is>
          <t>https://motochefebrasil.com.br/modelos/roma</t>
        </is>
      </c>
      <c r="L24" s="7" t="inlineStr"/>
      <c r="M24" s="7" t="inlineStr">
        <is>
          <t>Não</t>
        </is>
      </c>
      <c r="N24" s="7" t="inlineStr">
        <is>
          <t>Ativo</t>
        </is>
      </c>
    </row>
    <row r="25" ht="22" customHeight="1">
      <c r="A25" s="4" t="n">
        <v>23</v>
      </c>
      <c r="B25" s="5" t="inlineStr">
        <is>
          <t>GRID</t>
        </is>
      </c>
      <c r="C25" s="4" t="inlineStr">
        <is>
          <t>E-Bikes</t>
        </is>
      </c>
      <c r="D25" s="4" t="inlineStr">
        <is>
          <t>32 km/h</t>
        </is>
      </c>
      <c r="E25" s="4" t="inlineStr">
        <is>
          <t>750 W</t>
        </is>
      </c>
      <c r="F25" s="4" t="inlineStr">
        <is>
          <t>35 km</t>
        </is>
      </c>
      <c r="G25" s="6" t="inlineStr">
        <is>
          <t>Ágil, robusta e divertida de pilotar.</t>
        </is>
      </c>
      <c r="H25" s="5" t="inlineStr">
        <is>
          <t>https://motochefebrasil.com.br/wp-content/uploads/2025/10/GRID-LATERAL1-1.webp</t>
        </is>
      </c>
      <c r="I25" s="5" t="inlineStr"/>
      <c r="J25" s="5" t="inlineStr"/>
      <c r="K25" s="5" t="inlineStr">
        <is>
          <t>https://motochefebrasil.com.br/modelos/grid/</t>
        </is>
      </c>
      <c r="L25" s="4" t="inlineStr"/>
      <c r="M25" s="4" t="inlineStr">
        <is>
          <t>Não</t>
        </is>
      </c>
      <c r="N25" s="4" t="inlineStr">
        <is>
          <t>Ativo</t>
        </is>
      </c>
    </row>
    <row r="26" ht="22" customHeight="1">
      <c r="A26" s="7" t="n">
        <v>24</v>
      </c>
      <c r="B26" s="8" t="inlineStr">
        <is>
          <t>Style</t>
        </is>
      </c>
      <c r="C26" s="7" t="inlineStr">
        <is>
          <t>E-Bikes</t>
        </is>
      </c>
      <c r="D26" s="7" t="inlineStr">
        <is>
          <t>32 km/h</t>
        </is>
      </c>
      <c r="E26" s="7" t="inlineStr">
        <is>
          <t>750 W</t>
        </is>
      </c>
      <c r="F26" s="7" t="inlineStr">
        <is>
          <t>35 km</t>
        </is>
      </c>
      <c r="G26" s="9" t="inlineStr">
        <is>
          <t>E-bike urbana 750W (pico 1000W), bateria 48V 15,6Ah removível, freio a disco hidráulico — assinada por Diego Ribas.</t>
        </is>
      </c>
      <c r="H26" s="8" t="inlineStr">
        <is>
          <t>https://motochefebrasil.com.br/wp-content/uploads/2025/11/style-1-1.webp</t>
        </is>
      </c>
      <c r="I26" s="8" t="inlineStr"/>
      <c r="J26" s="8" t="inlineStr"/>
      <c r="K26" s="8" t="inlineStr">
        <is>
          <t>https://motochefebrasil.com.br/modelos/style</t>
        </is>
      </c>
      <c r="L26" s="7" t="inlineStr"/>
      <c r="M26" s="7" t="inlineStr">
        <is>
          <t>Não</t>
        </is>
      </c>
      <c r="N26" s="7" t="inlineStr">
        <is>
          <t>Ativo</t>
        </is>
      </c>
    </row>
    <row r="27" ht="22" customHeight="1">
      <c r="A27" s="4" t="n">
        <v>25</v>
      </c>
      <c r="B27" s="5" t="inlineStr">
        <is>
          <t>Liberty</t>
        </is>
      </c>
      <c r="C27" s="4" t="inlineStr">
        <is>
          <t>E-Bikes</t>
        </is>
      </c>
      <c r="D27" s="4" t="inlineStr">
        <is>
          <t>32 km/h</t>
        </is>
      </c>
      <c r="E27" s="4" t="inlineStr">
        <is>
          <t>500 W</t>
        </is>
      </c>
      <c r="F27" s="4" t="inlineStr">
        <is>
          <t>35 km</t>
        </is>
      </c>
      <c r="G27" s="6" t="inlineStr">
        <is>
          <t>Motor 500W (pico 800W), bateria 48V 13Ah removível e modos por aceleração ou pedal assistido PAS 5 níveis.</t>
        </is>
      </c>
      <c r="H27" s="5" t="inlineStr">
        <is>
          <t>https://motochefebrasil.com.br/wp-content/uploads/2025/11/liberty_product_web.webp</t>
        </is>
      </c>
      <c r="I27" s="5" t="inlineStr"/>
      <c r="J27" s="5" t="inlineStr"/>
      <c r="K27" s="5" t="inlineStr">
        <is>
          <t>https://motochefebrasil.com.br/modelos/liberty</t>
        </is>
      </c>
      <c r="L27" s="4" t="inlineStr"/>
      <c r="M27" s="4" t="inlineStr">
        <is>
          <t>Não</t>
        </is>
      </c>
      <c r="N27" s="4" t="inlineStr">
        <is>
          <t>Ativo</t>
        </is>
      </c>
    </row>
    <row r="28" ht="22" customHeight="1">
      <c r="A28" s="7" t="n">
        <v>26</v>
      </c>
      <c r="B28" s="8" t="inlineStr">
        <is>
          <t>SPACE</t>
        </is>
      </c>
      <c r="C28" s="7" t="inlineStr">
        <is>
          <t>E-Bikes</t>
        </is>
      </c>
      <c r="D28" s="7" t="inlineStr">
        <is>
          <t>32 km/h</t>
        </is>
      </c>
      <c r="E28" s="7" t="inlineStr">
        <is>
          <t>750 W</t>
        </is>
      </c>
      <c r="F28" s="7" t="inlineStr">
        <is>
          <t>35 km</t>
        </is>
      </c>
      <c r="G28" s="9" t="inlineStr">
        <is>
          <t>Motor 750W, bateria 48V 12Ah removível, 7 marchas. Aceleração no punho ou pedal assistido PAS 5 níveis.</t>
        </is>
      </c>
      <c r="H28" s="8" t="inlineStr">
        <is>
          <t>https://motochefebrasil.com.br/wp-content/uploads/2025/11/space_ia-1.webp</t>
        </is>
      </c>
      <c r="I28" s="8" t="inlineStr"/>
      <c r="J28" s="8" t="inlineStr"/>
      <c r="K28" s="8" t="inlineStr">
        <is>
          <t>https://motochefebrasil.com.br/modelos/space</t>
        </is>
      </c>
      <c r="L28" s="7" t="inlineStr"/>
      <c r="M28" s="7" t="inlineStr">
        <is>
          <t>Não</t>
        </is>
      </c>
      <c r="N28" s="7" t="inlineStr">
        <is>
          <t>Ativo</t>
        </is>
      </c>
    </row>
    <row r="29" ht="22" customHeight="1">
      <c r="A29" s="4" t="n">
        <v>27</v>
      </c>
      <c r="B29" s="5" t="inlineStr">
        <is>
          <t>Retrô</t>
        </is>
      </c>
      <c r="C29" s="4" t="inlineStr">
        <is>
          <t>E-Bikes</t>
        </is>
      </c>
      <c r="D29" s="4" t="inlineStr">
        <is>
          <t>32 km/h</t>
        </is>
      </c>
      <c r="E29" s="4" t="inlineStr">
        <is>
          <t>500 W</t>
        </is>
      </c>
      <c r="F29" s="4" t="inlineStr">
        <is>
          <t>35 km</t>
        </is>
      </c>
      <c r="G29" s="6" t="inlineStr">
        <is>
          <t>Visual de bike urbana com praticidade de e-bike moderna. Motor 500W, 32 km/h e 35 km de autonomia.</t>
        </is>
      </c>
      <c r="H29" s="5" t="inlineStr">
        <is>
          <t>https://motochefebrasil.com.br/wp-content/uploads/2025/11/retro_hero-1.webp</t>
        </is>
      </c>
      <c r="I29" s="5" t="inlineStr"/>
      <c r="J29" s="5" t="inlineStr"/>
      <c r="K29" s="5" t="inlineStr">
        <is>
          <t>https://motochefebrasil.com.br/modelos/retro</t>
        </is>
      </c>
      <c r="L29" s="4" t="inlineStr"/>
      <c r="M29" s="4" t="inlineStr">
        <is>
          <t>Não</t>
        </is>
      </c>
      <c r="N29" s="4" t="inlineStr">
        <is>
          <t>Ativo</t>
        </is>
      </c>
    </row>
    <row r="30" ht="22" customHeight="1">
      <c r="A30" s="7" t="n">
        <v>28</v>
      </c>
      <c r="B30" s="8" t="inlineStr">
        <is>
          <t>Joy Tri</t>
        </is>
      </c>
      <c r="C30" s="7" t="inlineStr">
        <is>
          <t>Triciclos</t>
        </is>
      </c>
      <c r="D30" s="7" t="inlineStr">
        <is>
          <t>30 km/h</t>
        </is>
      </c>
      <c r="E30" s="7" t="inlineStr">
        <is>
          <t>600 W</t>
        </is>
      </c>
      <c r="F30" s="7" t="inlineStr">
        <is>
          <t>40 km</t>
        </is>
      </c>
      <c r="G30" s="9" t="inlineStr">
        <is>
          <t>Chassi de três rodas com estabilidade e confiança. Ideal para quem quer segurança sem abrir mão da liberdade.</t>
        </is>
      </c>
      <c r="H30" s="8" t="inlineStr">
        <is>
          <t>https://motochefebrasil.com.br/wp-content/uploads/2025/10/JOY-TRI-1-1.webp</t>
        </is>
      </c>
      <c r="I30" s="8" t="inlineStr"/>
      <c r="J30" s="8" t="inlineStr"/>
      <c r="K30" s="8" t="inlineStr">
        <is>
          <t>https://motochefebrasil.com.br/modelos/joy-tri</t>
        </is>
      </c>
      <c r="L30" s="7" t="inlineStr"/>
      <c r="M30" s="7" t="inlineStr">
        <is>
          <t>Não</t>
        </is>
      </c>
      <c r="N30" s="7" t="inlineStr">
        <is>
          <t>Ativo</t>
        </is>
      </c>
    </row>
    <row r="31" ht="22" customHeight="1">
      <c r="A31" s="4" t="n">
        <v>29</v>
      </c>
      <c r="B31" s="5" t="inlineStr">
        <is>
          <t>BIG TRI</t>
        </is>
      </c>
      <c r="C31" s="4" t="inlineStr">
        <is>
          <t>Triciclos</t>
        </is>
      </c>
      <c r="D31" s="4" t="inlineStr">
        <is>
          <t>32 km/h</t>
        </is>
      </c>
      <c r="E31" s="4" t="inlineStr">
        <is>
          <t>1000 W</t>
        </is>
      </c>
      <c r="F31" s="4" t="inlineStr">
        <is>
          <t>40 km</t>
        </is>
      </c>
      <c r="G31" s="6" t="inlineStr">
        <is>
          <t>Liberdade com segurança. Triciclo 1000W com design retrô, conforto e tecnologia moderna.</t>
        </is>
      </c>
      <c r="H31" s="5" t="inlineStr">
        <is>
          <t>https://motochefebrasil.com.br/wp-content/uploads/2025/11/big_tri.webp</t>
        </is>
      </c>
      <c r="I31" s="5" t="inlineStr"/>
      <c r="J31" s="5" t="inlineStr"/>
      <c r="K31" s="5" t="inlineStr">
        <is>
          <t>https://motochefebrasil.com.br/modelos/big-tri/</t>
        </is>
      </c>
      <c r="L31" s="4" t="inlineStr"/>
      <c r="M31" s="4" t="inlineStr">
        <is>
          <t>Não</t>
        </is>
      </c>
      <c r="N31" s="4" t="inlineStr">
        <is>
          <t>Ativo</t>
        </is>
      </c>
    </row>
    <row r="32" ht="22" customHeight="1">
      <c r="A32" s="7" t="n">
        <v>30</v>
      </c>
      <c r="B32" s="8" t="inlineStr">
        <is>
          <t>Mia Tri</t>
        </is>
      </c>
      <c r="C32" s="7" t="inlineStr">
        <is>
          <t>Triciclos</t>
        </is>
      </c>
      <c r="D32" s="7" t="inlineStr">
        <is>
          <t>32 km/h</t>
        </is>
      </c>
      <c r="E32" s="7" t="inlineStr">
        <is>
          <t>800 W</t>
        </is>
      </c>
      <c r="F32" s="7" t="inlineStr">
        <is>
          <t>40 km</t>
        </is>
      </c>
      <c r="G32" s="9" t="inlineStr">
        <is>
          <t>Triciclo elétrico 800W para quem quer segurança, praticidade e estilo.</t>
        </is>
      </c>
      <c r="H32" s="8" t="inlineStr">
        <is>
          <t>https://motochefebrasil.com.br/wp-content/uploads/2025/10/MIA-TRI-01-1.webp</t>
        </is>
      </c>
      <c r="I32" s="8" t="inlineStr"/>
      <c r="J32" s="8" t="inlineStr"/>
      <c r="K32" s="8" t="inlineStr">
        <is>
          <t>https://motochefebrasil.com.br/modelos/mia-tri</t>
        </is>
      </c>
      <c r="L32" s="7" t="inlineStr"/>
      <c r="M32" s="7" t="inlineStr">
        <is>
          <t>Não</t>
        </is>
      </c>
      <c r="N32" s="7" t="inlineStr">
        <is>
          <t>Ativo</t>
        </is>
      </c>
    </row>
    <row r="33" ht="22" customHeight="1">
      <c r="A33" s="4" t="n">
        <v>31</v>
      </c>
      <c r="B33" s="5" t="inlineStr">
        <is>
          <t>X15</t>
        </is>
      </c>
      <c r="C33" s="4" t="inlineStr">
        <is>
          <t>Triciclos</t>
        </is>
      </c>
      <c r="D33" s="4" t="inlineStr">
        <is>
          <t>50 km/h</t>
        </is>
      </c>
      <c r="E33" s="4" t="inlineStr">
        <is>
          <t>3000 W</t>
        </is>
      </c>
      <c r="F33" s="4" t="inlineStr">
        <is>
          <t>40 km</t>
        </is>
      </c>
      <c r="G33" s="6" t="inlineStr">
        <is>
          <t>Triciclo elétrico potente com motor 3000W para aceleração firme e desempenho consistente.</t>
        </is>
      </c>
      <c r="H33" s="5" t="inlineStr">
        <is>
          <t>https://motochefebrasil.com.br/wp-content/uploads/2025/11/x15.webp</t>
        </is>
      </c>
      <c r="I33" s="5" t="inlineStr"/>
      <c r="J33" s="5" t="inlineStr"/>
      <c r="K33" s="5" t="inlineStr">
        <is>
          <t>https://motochefebrasil.com.br/modelos/x15</t>
        </is>
      </c>
      <c r="L33" s="4" t="inlineStr"/>
      <c r="M33" s="4" t="inlineStr">
        <is>
          <t>Não</t>
        </is>
      </c>
      <c r="N33" s="4" t="inlineStr">
        <is>
          <t>Ativo</t>
        </is>
      </c>
    </row>
    <row r="34" ht="22" customHeight="1">
      <c r="A34" s="7" t="n">
        <v>32</v>
      </c>
      <c r="B34" s="8" t="inlineStr">
        <is>
          <t>VED</t>
        </is>
      </c>
      <c r="C34" s="7" t="inlineStr">
        <is>
          <t>Triciclos</t>
        </is>
      </c>
      <c r="D34" s="7" t="inlineStr">
        <is>
          <t>32 km/h</t>
        </is>
      </c>
      <c r="E34" s="7" t="inlineStr">
        <is>
          <t>1000 W</t>
        </is>
      </c>
      <c r="F34" s="7" t="inlineStr">
        <is>
          <t>40 km</t>
        </is>
      </c>
      <c r="G34" s="9" t="inlineStr">
        <is>
          <t>Mobilidade elétrica acessível, segura e confortável. Motor 1000W e autonomia de até 40 km.</t>
        </is>
      </c>
      <c r="H34" s="8" t="inlineStr">
        <is>
          <t>https://motochefebrasil.com.br/wp-content/uploads/2025/11/ved_1-1.webp</t>
        </is>
      </c>
      <c r="I34" s="8" t="inlineStr"/>
      <c r="J34" s="8" t="inlineStr"/>
      <c r="K34" s="8" t="inlineStr">
        <is>
          <t>https://motochefebrasil.com.br/modelos/ved</t>
        </is>
      </c>
      <c r="L34" s="7" t="inlineStr"/>
      <c r="M34" s="7" t="inlineStr">
        <is>
          <t>Não</t>
        </is>
      </c>
      <c r="N34" s="7" t="inlineStr">
        <is>
          <t>Ativo</t>
        </is>
      </c>
    </row>
  </sheetData>
  <mergeCells count="1">
    <mergeCell ref="A1:N1"/>
  </mergeCells>
  <conditionalFormatting sqref="A3:N84">
    <cfRule type="expression" priority="1" dxfId="0">
      <formula>$M3="Sim"</formula>
    </cfRule>
  </conditionalFormatting>
  <dataValidations count="3">
    <dataValidation sqref="C3:C84" showDropDown="0" showInputMessage="0" showErrorMessage="1" allowBlank="0" errorTitle="Categoria inválida" error="Escolha da lista." type="list">
      <formula1>"Autopropelidos,Ciclomotor,E-Bikes,Triciclos"</formula1>
    </dataValidation>
    <dataValidation sqref="M3:M84" showDropDown="0" showInputMessage="0" showErrorMessage="1" allowBlank="0" errorTitle="Valor inválido" error="Escolha Sim ou Não." type="list">
      <formula1>"Sim,Não"</formula1>
    </dataValidation>
    <dataValidation sqref="N3:N84" showDropDown="0" showInputMessage="0" showErrorMessage="1" allowBlank="0" errorTitle="Status inválido" error="Escolha da lista." type="list">
      <formula1>"Ativo,Inativo,Rascunho"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28" customWidth="1" min="4" max="4"/>
  </cols>
  <sheetData>
    <row r="1" ht="38" customHeight="1">
      <c r="B1" s="1" t="inlineStr">
        <is>
          <t>📖  COMO USAR O CATÁLOGO — Link 360</t>
        </is>
      </c>
    </row>
    <row r="3" ht="28" customHeight="1">
      <c r="B3" s="10" t="inlineStr">
        <is>
          <t>🔑  IDENTIFICAÇÃO</t>
        </is>
      </c>
    </row>
    <row r="4" ht="24" customHeight="1">
      <c r="B4" s="11" t="inlineStr">
        <is>
          <t>ID</t>
        </is>
      </c>
      <c r="C4" s="12" t="inlineStr">
        <is>
          <t>Número único por produto (não repita)</t>
        </is>
      </c>
      <c r="D4" s="12" t="inlineStr">
        <is>
          <t>1, 2, 3...</t>
        </is>
      </c>
    </row>
    <row r="5" ht="24" customHeight="1">
      <c r="B5" s="11" t="inlineStr">
        <is>
          <t>Nome do Produto *</t>
        </is>
      </c>
      <c r="C5" s="13" t="inlineStr">
        <is>
          <t>Nome exibido no pop-up do site</t>
        </is>
      </c>
      <c r="D5" s="13" t="inlineStr">
        <is>
          <t>Giga, JET MAX, Roma</t>
        </is>
      </c>
    </row>
    <row r="6" ht="24" customHeight="1">
      <c r="B6" s="11" t="inlineStr">
        <is>
          <t>Categoria *</t>
        </is>
      </c>
      <c r="C6" s="12" t="inlineStr">
        <is>
          <t>Escolha da lista suspensa (dropdown)</t>
        </is>
      </c>
      <c r="D6" s="12" t="inlineStr">
        <is>
          <t>Autopropelidos / Ciclomotor / E-Bikes / Triciclos</t>
        </is>
      </c>
    </row>
    <row r="8" ht="28" customHeight="1">
      <c r="B8" s="10" t="inlineStr">
        <is>
          <t>⚙️  ESPECIFICAÇÕES (exibidas no pop-up)</t>
        </is>
      </c>
    </row>
    <row r="9" ht="24" customHeight="1">
      <c r="B9" s="11" t="inlineStr">
        <is>
          <t>Velocidade Máx.</t>
        </is>
      </c>
      <c r="C9" s="12" t="inlineStr">
        <is>
          <t>Velocidade máxima do veículo</t>
        </is>
      </c>
      <c r="D9" s="12" t="inlineStr">
        <is>
          <t>32 km/h, 50 km/h</t>
        </is>
      </c>
    </row>
    <row r="10" ht="24" customHeight="1">
      <c r="B10" s="11" t="inlineStr">
        <is>
          <t>Potência (Motor)</t>
        </is>
      </c>
      <c r="C10" s="13" t="inlineStr">
        <is>
          <t>Potência do motor elétrico</t>
        </is>
      </c>
      <c r="D10" s="13" t="inlineStr">
        <is>
          <t>1000 W, 3000 W</t>
        </is>
      </c>
    </row>
    <row r="11" ht="24" customHeight="1">
      <c r="B11" s="11" t="inlineStr">
        <is>
          <t>Autonomia</t>
        </is>
      </c>
      <c r="C11" s="12" t="inlineStr">
        <is>
          <t>Distância por carga completa</t>
        </is>
      </c>
      <c r="D11" s="12" t="inlineStr">
        <is>
          <t>40 km, 80 km</t>
        </is>
      </c>
    </row>
    <row r="13" ht="28" customHeight="1">
      <c r="B13" s="10" t="inlineStr">
        <is>
          <t>📝  CONTEÚDO</t>
        </is>
      </c>
    </row>
    <row r="14" ht="24" customHeight="1">
      <c r="B14" s="11" t="inlineStr">
        <is>
          <t>Descrição *</t>
        </is>
      </c>
      <c r="C14" s="12" t="inlineStr">
        <is>
          <t>Texto exibido no pop-up do produto</t>
        </is>
      </c>
      <c r="D14" s="12" t="inlineStr">
        <is>
          <t>Visual agressivo, zero burocracia...</t>
        </is>
      </c>
    </row>
    <row r="16" ht="28" customHeight="1">
      <c r="B16" s="10" t="inlineStr">
        <is>
          <t>🖼️  IMAGENS</t>
        </is>
      </c>
    </row>
    <row r="17" ht="24" customHeight="1">
      <c r="B17" s="11" t="inlineStr">
        <is>
          <t>🖼️ Imagem Destaque (URL)</t>
        </is>
      </c>
      <c r="C17" s="12" t="inlineStr">
        <is>
          <t>URL da imagem principal exibida na frente do card</t>
        </is>
      </c>
      <c r="D17" s="12" t="inlineStr">
        <is>
          <t>https://site.com/foto-principal.webp</t>
        </is>
      </c>
    </row>
    <row r="18" ht="24" customHeight="1">
      <c r="B18" s="11" t="inlineStr">
        <is>
          <t>Imagem 2 (URL)</t>
        </is>
      </c>
      <c r="C18" s="13" t="inlineStr">
        <is>
          <t>Foto adicional para galeria do pop-up</t>
        </is>
      </c>
      <c r="D18" s="13" t="inlineStr">
        <is>
          <t>https://site.com/foto2.jpg</t>
        </is>
      </c>
    </row>
    <row r="19" ht="24" customHeight="1">
      <c r="B19" s="11" t="inlineStr">
        <is>
          <t>Imagem 3 (URL)</t>
        </is>
      </c>
      <c r="C19" s="12" t="inlineStr">
        <is>
          <t>Foto adicional para galeria do pop-up</t>
        </is>
      </c>
      <c r="D19" s="12" t="inlineStr">
        <is>
          <t>https://site.com/foto3.jpg</t>
        </is>
      </c>
    </row>
    <row r="21" ht="28" customHeight="1">
      <c r="B21" s="10" t="inlineStr">
        <is>
          <t>🌐  LINK</t>
        </is>
      </c>
    </row>
    <row r="22" ht="24" customHeight="1">
      <c r="B22" s="11" t="inlineStr">
        <is>
          <t>Link do Produto (URL)</t>
        </is>
      </c>
      <c r="C22" s="12" t="inlineStr">
        <is>
          <t>URL completa da página do produto</t>
        </is>
      </c>
      <c r="D22" s="12" t="inlineStr">
        <is>
          <t>https://motochefebrasil.com.br/modelos/giga</t>
        </is>
      </c>
    </row>
    <row r="24" ht="28" customHeight="1">
      <c r="B24" s="10" t="inlineStr">
        <is>
          <t>💰  PREÇO</t>
        </is>
      </c>
    </row>
    <row r="25" ht="24" customHeight="1">
      <c r="B25" s="11" t="inlineStr">
        <is>
          <t>Preço (R$)</t>
        </is>
      </c>
      <c r="C25" s="12" t="inlineStr">
        <is>
          <t>Preço de venda (opcional — deixe vazio se não usar)</t>
        </is>
      </c>
      <c r="D25" s="12" t="inlineStr">
        <is>
          <t>R$ 8.990,00</t>
        </is>
      </c>
    </row>
    <row r="27" ht="28" customHeight="1">
      <c r="B27" s="10" t="inlineStr">
        <is>
          <t>🎯  SELETOR DE OFERTA — IMPORTANTE</t>
        </is>
      </c>
    </row>
    <row r="28" ht="24" customHeight="1">
      <c r="B28" s="11" t="inlineStr">
        <is>
          <t>🔥 Oferta em Destaque?</t>
        </is>
      </c>
      <c r="C28" s="12" t="inlineStr">
        <is>
          <t>Sim → produto aparece na seção especial de Ofertas em Destaque do site, com badge laranja
Não → produto aparece apenas no catálogo geral</t>
        </is>
      </c>
      <c r="D28" s="12" t="inlineStr">
        <is>
          <t>Sim / Não</t>
        </is>
      </c>
    </row>
    <row r="30" ht="28" customHeight="1">
      <c r="B30" s="10" t="inlineStr">
        <is>
          <t>📦  CONTROLE</t>
        </is>
      </c>
    </row>
    <row r="31" ht="24" customHeight="1">
      <c r="B31" s="11" t="inlineStr">
        <is>
          <t>Status</t>
        </is>
      </c>
      <c r="C31" s="12" t="inlineStr">
        <is>
          <t>Controla visibilidade no site</t>
        </is>
      </c>
      <c r="D31" s="12" t="inlineStr">
        <is>
          <t>Ativo / Inativo / Rascunho</t>
        </is>
      </c>
    </row>
    <row r="34" ht="26" customHeight="1">
      <c r="B34" s="14" t="inlineStr">
        <is>
          <t>⚠️  DICAS RÁPIDAS</t>
        </is>
      </c>
    </row>
    <row r="35" ht="22" customHeight="1">
      <c r="B35" s="15" t="inlineStr">
        <is>
          <t xml:space="preserve">  •  Cada linha = 1 produto no catálogo do site</t>
        </is>
      </c>
    </row>
    <row r="36" ht="22" customHeight="1">
      <c r="B36" s="15" t="inlineStr">
        <is>
          <t xml:space="preserve">  •  Cada coluna = 1 campo do pop-up do produto</t>
        </is>
      </c>
    </row>
    <row r="37" ht="22" customHeight="1">
      <c r="B37" s="15" t="inlineStr">
        <is>
          <t xml:space="preserve">  •  Para adicionar novo produto: copie a última linha e edite</t>
        </is>
      </c>
    </row>
    <row r="38" ht="22" customHeight="1">
      <c r="B38" s="15" t="inlineStr">
        <is>
          <t xml:space="preserve">  •  ID deve ser único — nunca repita o mesmo número</t>
        </is>
      </c>
    </row>
    <row r="39" ht="22" customHeight="1">
      <c r="B39" s="15" t="inlineStr">
        <is>
          <t xml:space="preserve">  •  Use Status = Inativo para ocultar sem excluir</t>
        </is>
      </c>
    </row>
    <row r="40" ht="22" customHeight="1">
      <c r="B40" s="15" t="inlineStr">
        <is>
          <t xml:space="preserve">  •  A Imagem Destaque é a foto principal visível no card — use sempre a melhor foto</t>
        </is>
      </c>
    </row>
    <row r="41" ht="22" customHeight="1">
      <c r="B41" s="15" t="inlineStr">
        <is>
          <t xml:space="preserve">  •  Ao marcar Oferta = Sim, a linha fica destacada automaticamente em amarelo nesta planilha</t>
        </is>
      </c>
    </row>
  </sheetData>
  <mergeCells count="17">
    <mergeCell ref="B3:D3"/>
    <mergeCell ref="B36:D36"/>
    <mergeCell ref="B37:D37"/>
    <mergeCell ref="B41:D41"/>
    <mergeCell ref="B1:D1"/>
    <mergeCell ref="B8:D8"/>
    <mergeCell ref="B35:D35"/>
    <mergeCell ref="B40:D40"/>
    <mergeCell ref="B27:D27"/>
    <mergeCell ref="B13:D13"/>
    <mergeCell ref="B21:D21"/>
    <mergeCell ref="B30:D30"/>
    <mergeCell ref="B39:D39"/>
    <mergeCell ref="B38:D38"/>
    <mergeCell ref="B24:D24"/>
    <mergeCell ref="B16:D16"/>
    <mergeCell ref="B34:D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30" customWidth="1" min="4" max="4"/>
    <col width="18" customWidth="1" min="5" max="5"/>
  </cols>
  <sheetData>
    <row r="1" ht="38" customHeight="1">
      <c r="B1" s="1" t="inlineStr">
        <is>
          <t>📊  RESUMO DO CATÁLOGO — Link 360</t>
        </is>
      </c>
    </row>
    <row r="3" ht="34" customHeight="1">
      <c r="B3" s="16" t="inlineStr">
        <is>
          <t>🏍️  Total de Produtos</t>
        </is>
      </c>
      <c r="C3" s="17">
        <f>COUNTA('📦 Catálogo'!B3:B1000)</f>
        <v/>
      </c>
    </row>
    <row r="4" ht="34" customHeight="1">
      <c r="B4" s="18" t="inlineStr">
        <is>
          <t>✅  Produtos Ativos</t>
        </is>
      </c>
      <c r="C4" s="19">
        <f>COUNTIF('📦 Catálogo'!N3:N1000,"Ativo")</f>
        <v/>
      </c>
    </row>
    <row r="5" ht="34" customHeight="1">
      <c r="B5" s="20" t="inlineStr">
        <is>
          <t>🔥  Ofertas em Destaque</t>
        </is>
      </c>
      <c r="C5" s="21">
        <f>COUNTIF('📦 Catálogo'!M3:M1000,"Sim")</f>
        <v/>
      </c>
    </row>
    <row r="6" ht="34" customHeight="1">
      <c r="B6" s="22" t="inlineStr">
        <is>
          <t>⚙️  Autopropelidos</t>
        </is>
      </c>
      <c r="C6" s="17">
        <f>COUNTIF('📦 Catálogo'!C3:C1000,"Autopropelidos")</f>
        <v/>
      </c>
    </row>
    <row r="7" ht="34" customHeight="1">
      <c r="B7" s="22" t="inlineStr">
        <is>
          <t>🏍️  Ciclomotores</t>
        </is>
      </c>
      <c r="C7" s="17">
        <f>COUNTIF('📦 Catálogo'!C3:C1000,"Ciclomotor")</f>
        <v/>
      </c>
    </row>
    <row r="8" ht="34" customHeight="1">
      <c r="B8" s="22" t="inlineStr">
        <is>
          <t>🚲  E-Bikes</t>
        </is>
      </c>
      <c r="C8" s="17">
        <f>COUNTIF('📦 Catálogo'!C3:C1000,"E-Bikes")</f>
        <v/>
      </c>
    </row>
    <row r="9" ht="34" customHeight="1">
      <c r="B9" s="22" t="inlineStr">
        <is>
          <t>🛺  Triciclos</t>
        </is>
      </c>
      <c r="C9" s="17">
        <f>COUNTIF('📦 Catálogo'!C3:C1000,"Triciclos")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2026-04-17T02:50:27Z</dcterms:created>
  <dcterms:modified xmlns:dcterms="http://purl.org/dc/terms/" xmlns:xsi="http://www.w3.org/2001/XMLSchema-instance" xsi:type="dcterms:W3CDTF">2026-04-17T02:50:28Z</dcterms:modified>
</cp:coreProperties>
</file>